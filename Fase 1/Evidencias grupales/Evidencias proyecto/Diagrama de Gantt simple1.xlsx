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273" documentId="8_{EDEBC3C0-7402-4CAD-B2E4-3BF1577E322B}" xr6:coauthVersionLast="47" xr6:coauthVersionMax="47" xr10:uidLastSave="{8D210B9B-4B6A-4CC4-92DC-0E5A59086D05}"/>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4" i="11" l="1"/>
  <c r="E44" i="11"/>
  <c r="E43" i="11"/>
  <c r="E42" i="11"/>
  <c r="F40" i="11"/>
  <c r="F39" i="11"/>
  <c r="E39" i="11"/>
  <c r="F37" i="11"/>
  <c r="F36" i="11"/>
  <c r="E36" i="11"/>
  <c r="F34" i="11"/>
  <c r="E34" i="11"/>
  <c r="F33" i="11"/>
  <c r="E33" i="11"/>
  <c r="F31" i="11"/>
  <c r="E31" i="11"/>
  <c r="F30" i="11"/>
  <c r="E30" i="11"/>
  <c r="F28" i="11"/>
  <c r="E28" i="11"/>
  <c r="F24" i="11"/>
  <c r="E24" i="11"/>
  <c r="E25" i="11" s="1"/>
  <c r="F25" i="11" s="1"/>
  <c r="F17" i="11"/>
  <c r="F16" i="11"/>
  <c r="E9" i="11"/>
  <c r="F9" i="11" s="1"/>
  <c r="E10" i="11" s="1"/>
  <c r="H7" i="11"/>
  <c r="E37" i="11" l="1"/>
  <c r="I5" i="11"/>
  <c r="H8" i="11"/>
  <c r="H9" i="11" l="1"/>
  <c r="F10" i="11"/>
  <c r="E11" i="11" s="1"/>
  <c r="I6" i="11"/>
  <c r="F11" i="11" l="1"/>
  <c r="E12" i="11"/>
  <c r="F12" i="11" s="1"/>
  <c r="J5" i="11"/>
  <c r="K5" i="11" s="1"/>
  <c r="L5" i="11" s="1"/>
  <c r="M5" i="11" s="1"/>
  <c r="N5" i="11" s="1"/>
  <c r="O5" i="11" s="1"/>
  <c r="P5" i="11" s="1"/>
  <c r="I4" i="11"/>
  <c r="H11" i="11" l="1"/>
  <c r="P4" i="11"/>
  <c r="Q5" i="11"/>
  <c r="R5" i="11" s="1"/>
  <c r="S5" i="11" s="1"/>
  <c r="T5" i="11" s="1"/>
  <c r="U5" i="11" s="1"/>
  <c r="V5" i="11" s="1"/>
  <c r="W5" i="11" s="1"/>
  <c r="J6" i="11"/>
  <c r="H39" i="11" l="1"/>
  <c r="E40" i="11"/>
  <c r="H37" i="11"/>
  <c r="H36" i="11"/>
  <c r="H12" i="11"/>
  <c r="E13" i="11"/>
  <c r="F13" i="11" s="1"/>
  <c r="E15" i="11" s="1"/>
  <c r="F15" i="11" s="1"/>
  <c r="E16" i="11" s="1"/>
  <c r="H10" i="11"/>
  <c r="W4" i="11"/>
  <c r="X5" i="11"/>
  <c r="Y5" i="11" s="1"/>
  <c r="Z5" i="11" s="1"/>
  <c r="AA5" i="11" s="1"/>
  <c r="AB5" i="11" s="1"/>
  <c r="AC5" i="11" s="1"/>
  <c r="AD5" i="11" s="1"/>
  <c r="K6" i="11"/>
  <c r="H40" i="11" l="1"/>
  <c r="F42" i="11"/>
  <c r="H38" i="11"/>
  <c r="E18" i="11"/>
  <c r="E17" i="11"/>
  <c r="AE5" i="11"/>
  <c r="AF5" i="11" s="1"/>
  <c r="AG5" i="11" s="1"/>
  <c r="AH5" i="11" s="1"/>
  <c r="AI5" i="11" s="1"/>
  <c r="AJ5" i="11" s="1"/>
  <c r="AD4" i="11"/>
  <c r="L6" i="11"/>
  <c r="F18" i="11" l="1"/>
  <c r="E20" i="11" s="1"/>
  <c r="F20" i="11" s="1"/>
  <c r="E21" i="11" s="1"/>
  <c r="F21" i="11" s="1"/>
  <c r="E22" i="11" s="1"/>
  <c r="F22" i="11" s="1"/>
  <c r="H42" i="11"/>
  <c r="H41" i="11"/>
  <c r="H13" i="11"/>
  <c r="AK5" i="11"/>
  <c r="AL5" i="11" s="1"/>
  <c r="AM5" i="11" s="1"/>
  <c r="AN5" i="11" s="1"/>
  <c r="AO5" i="11" s="1"/>
  <c r="AP5" i="11" s="1"/>
  <c r="AQ5" i="11" s="1"/>
  <c r="M6" i="11"/>
  <c r="F43" i="11" l="1"/>
  <c r="H14" i="11"/>
  <c r="AR5" i="11"/>
  <c r="AS5" i="11" s="1"/>
  <c r="AK4" i="11"/>
  <c r="N6" i="11"/>
  <c r="H43" i="11" l="1"/>
  <c r="H44" i="11"/>
  <c r="AT5" i="11"/>
  <c r="AS6" i="11"/>
  <c r="AR4" i="11"/>
  <c r="O6" i="11"/>
  <c r="E27" i="11" l="1"/>
  <c r="F27" i="11" s="1"/>
  <c r="H15" i="11"/>
  <c r="H16" i="11"/>
  <c r="AU5" i="11"/>
  <c r="AT6" i="11"/>
  <c r="H25" i="11" l="1"/>
  <c r="H17" i="11"/>
  <c r="H18" i="11"/>
  <c r="AV5" i="11"/>
  <c r="AU6" i="11"/>
  <c r="P6" i="11"/>
  <c r="Q6" i="11"/>
  <c r="H26" i="11" l="1"/>
  <c r="H19" i="11"/>
  <c r="H21" i="11"/>
  <c r="AW5" i="11"/>
  <c r="AV6" i="11"/>
  <c r="R6" i="11"/>
  <c r="H33" i="11" l="1"/>
  <c r="H24" i="11"/>
  <c r="H23" i="11"/>
  <c r="H20" i="11"/>
  <c r="H22" i="11"/>
  <c r="AX5" i="11"/>
  <c r="AY5" i="11" s="1"/>
  <c r="AW6" i="11"/>
  <c r="H27" i="11" l="1"/>
  <c r="H30" i="11"/>
  <c r="AZ5" i="11"/>
  <c r="AY4" i="11"/>
  <c r="S6" i="11" s="1"/>
  <c r="AX6" i="11"/>
  <c r="T6" i="11"/>
  <c r="H35" i="11" l="1"/>
  <c r="H34" i="11"/>
  <c r="H31" i="11"/>
  <c r="H32" i="11"/>
  <c r="H28" i="11"/>
  <c r="H29" i="11"/>
  <c r="AY6" i="1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<sst xmlns="http://schemas.openxmlformats.org/spreadsheetml/2006/main" count="108" uniqueCount="83">
  <si>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</si>
  <si>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</si>
  <si>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</si>
  <si>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</si>
  <si>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</si>
  <si>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</si>
  <si>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</si>
  <si>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</si>
  <si>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</si>
  <si>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</si>
  <si>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</si>
  <si>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</si>
  <si>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</si>
  <si>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</si>
  <si>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</si>
  <si>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</si>
  <si>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</si>
  <si>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</si>
  <si>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</si>
  <si>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</si>
  <si>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</si>
  <si>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</si>
  <si>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</si>
  <si>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</si>
  <si>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</si>
  <si>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</si>
  <si>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</si>
  <si>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</si>
  <si>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</si>
  <si>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</si>
  <si>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</si>
  <si>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</si>
  <si>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</si>
  <si>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</si>
  <si>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</si>
  <si>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</si>
  <si>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</si>
  <si>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</si>
  <si>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</si>
  <si>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</si>
  <si>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</si>
  <si>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Entrevista y Kick off con los StakeHolder</t>
  </si>
  <si>
    <t>Establecimiento de alcance y restriciones</t>
  </si>
  <si>
    <t>Elaboración de Matriz RACI.</t>
  </si>
  <si>
    <t>Elaboración de presupuesto</t>
  </si>
  <si>
    <t>Elaboración de matriz de riesgos y mitigaciones</t>
  </si>
  <si>
    <t>Diseño de Interfaces (Mockups UI/UX)</t>
  </si>
  <si>
    <t>Diseño de Diagrama de Casos de Uso</t>
  </si>
  <si>
    <t>Diseño de Base de Datos (Diagrama ER)</t>
  </si>
  <si>
    <t>Diseño Arquitectónico (C4 Nivel 2, Clases y Actividad)</t>
  </si>
  <si>
    <t>Metodología Incremental</t>
  </si>
  <si>
    <t>Construcción del Product Backlog:</t>
  </si>
  <si>
    <t>Priorización MoSCoW</t>
  </si>
  <si>
    <t>Definición de Filtros de Calidad</t>
  </si>
  <si>
    <t>Diagramas</t>
  </si>
  <si>
    <t>tareas de gestión</t>
  </si>
  <si>
    <t>Agustin</t>
  </si>
  <si>
    <t>Ambos</t>
  </si>
  <si>
    <t>Diego</t>
  </si>
  <si>
    <t>Infraestructura y Base de Datos</t>
  </si>
  <si>
    <t>Levantamiento de servidor y entorno en GCP</t>
  </si>
  <si>
    <t>Creación de tablas MySQL (Pacientes, Citas, etc.)</t>
  </si>
  <si>
    <t>Desarrollo de Backend y APIs</t>
  </si>
  <si>
    <t>Programación CRUD (Gestión de perfiles y fichas)</t>
  </si>
  <si>
    <t>Programación APIs de agendamiento y reglas de negocio</t>
  </si>
  <si>
    <t>Desarrollo de Frontend Web</t>
  </si>
  <si>
    <t>Programación de buscador e interfaz para Pacientes</t>
  </si>
  <si>
    <t>Programación de panel administrativo (Back Office Web)</t>
  </si>
  <si>
    <t>Extracción, preparación de datos y endpoints de reportes</t>
  </si>
  <si>
    <t>Diego Sepúlveda</t>
  </si>
  <si>
    <t>Integración visual de gráficos interactivos en el Back Office</t>
  </si>
  <si>
    <t>Agustín Heinz</t>
  </si>
  <si>
    <t>Aseguramiento de Calidad y Seguridad</t>
  </si>
  <si>
    <t>Auditoría de código, Code Review y validación (DoD)</t>
  </si>
  <si>
    <t>Pruebas de seguridad (Mitigación OWASP) y Ley 19.628</t>
  </si>
  <si>
    <t>Pruebas de usabilidad con la fonoaudióloga y pacientes</t>
  </si>
  <si>
    <t>Ajustes finales de interfaz basados en el feedback</t>
  </si>
  <si>
    <t>3. Despliegue y Entregables Institucionales</t>
  </si>
  <si>
    <t>Despliegue en el dominio de producción (CI/CD)</t>
  </si>
  <si>
    <t>Preparación del Video Demo y limpieza del repositorio</t>
  </si>
  <si>
    <t>Redacción del Paper/Artículo corto</t>
  </si>
  <si>
    <t>Validación con la Experta del Dominio</t>
  </si>
  <si>
    <t xml:space="preserve">Módulo de Business Intelligence - BI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</si>
</sst>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4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b/>
      <sz val="12"/>
      <color theme="1"/>
      <name val="Arial"/>
      <family val="2"/>
    </font>
    <font>
      <sz val="12"/>
      <color theme="1"/>
      <name val="Arial"/>
      <family val="2"/>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BE5F1"/>
        <bgColor indexed="64"/>
      </patternFill>
    </fill>
    <fill>
      <patternFill patternType="solid">
        <fgColor rgb="FFB8CCE4"/>
        <bgColor indexed="64"/>
      </patternFill>
    </fill>
    <fill>
      <patternFill patternType="solid">
        <fgColor rgb="FFE5B8B7"/>
        <bgColor indexed="64"/>
      </patternFill>
    </fill>
    <fill>
      <patternFill patternType="solid">
        <fgColor rgb="FFF2DBDB"/>
        <bgColor indexed="64"/>
      </patternFill>
    </fill>
    <fill>
      <patternFill patternType="solid">
        <fgColor rgb="FFEAF1DD"/>
        <bgColor indexed="64"/>
      </patternFill>
    </fill>
  </fills>
  <borders count="2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8D8D8"/>
      </top>
      <bottom style="medium">
        <color rgb="FFD8D8D8"/>
      </bottom>
      <diagonal/>
    </border>
    <border>
      <left/>
      <right/>
      <top/>
      <bottom style="medium">
        <color rgb="FFD8D8D8"/>
      </bottom>
      <diagonal/>
    </border>
    <border>
      <left/>
      <right/>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1" borderId="0" applyNumberFormat="0" applyBorder="0" applyAlignment="0" applyProtection="0"/>
    <xf numFmtId="0" fontId="28" fillId="12" borderId="0" applyNumberFormat="0" applyBorder="0" applyAlignment="0" applyProtection="0"/>
    <xf numFmtId="0" fontId="29" fillId="13" borderId="0" applyNumberFormat="0" applyBorder="0" applyAlignment="0" applyProtection="0"/>
    <xf numFmtId="0" fontId="30" fillId="14" borderId="11" applyNumberFormat="0" applyAlignment="0" applyProtection="0"/>
    <xf numFmtId="0" fontId="31" fillId="15" borderId="12" applyNumberFormat="0" applyAlignment="0" applyProtection="0"/>
    <xf numFmtId="0" fontId="32" fillId="15" borderId="11" applyNumberFormat="0" applyAlignment="0" applyProtection="0"/>
    <xf numFmtId="0" fontId="33" fillId="0" borderId="13" applyNumberFormat="0" applyFill="0" applyAlignment="0" applyProtection="0"/>
    <xf numFmtId="0" fontId="34" fillId="16" borderId="14" applyNumberFormat="0" applyAlignment="0" applyProtection="0"/>
    <xf numFmtId="0" fontId="35" fillId="0" borderId="0" applyNumberFormat="0" applyFill="0" applyBorder="0" applyAlignment="0" applyProtection="0"/>
    <xf numFmtId="0" fontId="9" fillId="17"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2"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2"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2"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22"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cellStyleXfs>
  <cellXfs count="8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7" fillId="10" borderId="1" xfId="0" applyFont="1" applyFill="1" applyBorder="1" applyAlignment="1">
      <alignment horizontal="left" vertical="center" indent="1"/>
    </xf>
    <xf numFmtId="0" fontId="7" fillId="10" borderId="1" xfId="0" applyFont="1" applyFill="1" applyBorder="1" applyAlignment="1">
      <alignment horizontal="center" vertical="center" wrapText="1"/>
    </xf>
    <xf numFmtId="0" fontId="12" fillId="9"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8"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3" borderId="2" xfId="11" applyFill="1">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70" fontId="9" fillId="8" borderId="2" xfId="10" applyFill="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6" borderId="6" xfId="0" applyNumberFormat="1" applyFont="1" applyFill="1" applyBorder="1" applyAlignment="1">
      <alignment horizontal="center" vertical="center"/>
    </xf>
    <xf numFmtId="171" fontId="11" fillId="6" borderId="0" xfId="0" applyNumberFormat="1" applyFont="1" applyFill="1" applyAlignment="1">
      <alignment horizontal="center" vertical="center"/>
    </xf>
    <xf numFmtId="171" fontId="11" fillId="6" borderId="7"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0" borderId="2" xfId="10">
      <alignment horizontal="center" vertical="center"/>
    </xf>
    <xf numFmtId="169" fontId="0" fillId="6" borderId="4" xfId="0" applyNumberFormat="1" applyFill="1" applyBorder="1" applyAlignment="1">
      <alignment horizontal="left" vertical="center" wrapText="1" indent="1"/>
    </xf>
    <xf numFmtId="169" fontId="0" fillId="6" borderId="1" xfId="0" applyNumberFormat="1" applyFill="1" applyBorder="1" applyAlignment="1">
      <alignment horizontal="left" vertical="center" wrapText="1" indent="1"/>
    </xf>
    <xf numFmtId="169" fontId="0" fillId="6" borderId="5" xfId="0" applyNumberFormat="1" applyFill="1" applyBorder="1" applyAlignment="1">
      <alignment horizontal="left" vertical="center" wrapText="1" indent="1"/>
    </xf>
    <xf numFmtId="168" fontId="9" fillId="0" borderId="3" xfId="9">
      <alignment horizontal="center" vertical="center"/>
    </xf>
    <xf numFmtId="0" fontId="9" fillId="0" borderId="0" xfId="8">
      <alignment horizontal="right" indent="1"/>
    </xf>
    <xf numFmtId="0" fontId="9" fillId="0" borderId="7" xfId="8" applyBorder="1">
      <alignment horizontal="right" indent="1"/>
    </xf>
    <xf numFmtId="0" fontId="9" fillId="3" borderId="2" xfId="12" applyFill="1" applyAlignment="1">
      <alignment horizontal="center" vertical="center" wrapText="1"/>
    </xf>
    <xf numFmtId="0" fontId="0" fillId="42" borderId="17" xfId="0" applyFill="1" applyBorder="1" applyAlignment="1">
      <alignment horizontal="center" vertical="center" wrapText="1"/>
    </xf>
    <xf numFmtId="0" fontId="0" fillId="42" borderId="18" xfId="0" applyFill="1" applyBorder="1" applyAlignment="1">
      <alignment vertical="center" wrapText="1"/>
    </xf>
    <xf numFmtId="0" fontId="0" fillId="42" borderId="18" xfId="0" applyFill="1" applyBorder="1" applyAlignment="1">
      <alignment horizontal="center" vertical="center" wrapText="1"/>
    </xf>
    <xf numFmtId="0" fontId="6" fillId="43" borderId="17" xfId="0" applyFont="1" applyFill="1" applyBorder="1" applyAlignment="1">
      <alignment horizontal="center" vertical="center" wrapText="1"/>
    </xf>
    <xf numFmtId="0" fontId="6" fillId="7" borderId="2" xfId="0" applyFont="1" applyFill="1" applyBorder="1" applyAlignment="1">
      <alignment horizontal="center" vertical="center"/>
    </xf>
    <xf numFmtId="0" fontId="0" fillId="45" borderId="18" xfId="0" applyFill="1" applyBorder="1" applyAlignment="1">
      <alignment vertical="center" wrapText="1"/>
    </xf>
    <xf numFmtId="0" fontId="6" fillId="44" borderId="18" xfId="0" applyFont="1" applyFill="1" applyBorder="1" applyAlignment="1">
      <alignment horizontal="center" vertical="center" wrapText="1"/>
    </xf>
    <xf numFmtId="0" fontId="6" fillId="44" borderId="0" xfId="0" applyFont="1" applyFill="1" applyBorder="1" applyAlignment="1">
      <alignment horizontal="center" vertical="center" wrapText="1"/>
    </xf>
    <xf numFmtId="0" fontId="0" fillId="45" borderId="18" xfId="0" applyFill="1" applyBorder="1" applyAlignment="1">
      <alignment horizontal="center" vertical="center" wrapText="1"/>
    </xf>
    <xf numFmtId="0" fontId="0" fillId="45" borderId="17" xfId="0" applyFill="1" applyBorder="1" applyAlignment="1">
      <alignment vertical="center" wrapText="1"/>
    </xf>
    <xf numFmtId="0" fontId="0" fillId="45" borderId="17" xfId="0" applyFill="1" applyBorder="1" applyAlignment="1">
      <alignment horizontal="center" vertical="center" wrapText="1"/>
    </xf>
    <xf numFmtId="0" fontId="9" fillId="4" borderId="2" xfId="12" applyFill="1" applyAlignment="1">
      <alignment horizontal="left" vertical="center" wrapText="1" indent="2"/>
    </xf>
    <xf numFmtId="0" fontId="39" fillId="8" borderId="2" xfId="12" applyFont="1" applyFill="1" applyAlignment="1">
      <alignment horizontal="left" vertical="center" wrapText="1" indent="2"/>
    </xf>
    <xf numFmtId="0" fontId="38" fillId="5" borderId="2" xfId="0" applyFont="1" applyFill="1" applyBorder="1" applyAlignment="1">
      <alignment horizontal="center" vertical="center" wrapText="1"/>
    </xf>
    <xf numFmtId="0" fontId="38" fillId="5" borderId="19" xfId="0" applyFont="1" applyFill="1" applyBorder="1" applyAlignment="1">
      <alignment horizontal="center" vertical="center" wrapText="1"/>
    </xf>
    <xf numFmtId="0" fontId="0" fillId="46" borderId="17" xfId="0" applyFill="1" applyBorder="1" applyAlignment="1">
      <alignment horizontal="center" vertical="center" wrapText="1"/>
    </xf>
    <xf numFmtId="0" fontId="0" fillId="46" borderId="18" xfId="0" applyFill="1" applyBorder="1" applyAlignment="1">
      <alignment horizontal="center" vertical="center" wrapText="1"/>
    </xf>
    <xf numFmtId="0" fontId="38" fillId="5" borderId="0" xfId="0" applyFont="1" applyFill="1" applyBorder="1" applyAlignment="1">
      <alignment horizontal="center" vertical="center" wrapText="1"/>
    </xf>
    <xf numFmtId="0" fontId="0" fillId="8" borderId="17" xfId="0" applyFill="1" applyBorder="1" applyAlignment="1">
      <alignment horizontal="center" vertical="center" wrapText="1"/>
    </xf>
    <xf numFmtId="0" fontId="0" fillId="8" borderId="18" xfId="0" applyFill="1" applyBorder="1" applyAlignment="1">
      <alignment horizontal="center" vertical="center" wrapTex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4A6F9C"/>
      <color rgb="FF215881"/>
      <color rgb="FF42648A"/>
      <color rgb="FF969696"/>
      <color rgb="FFC0C0C0"/>
      <color rgb="FF427FC2"/>
      <color rgb="FF44678E"/>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0"/>
  <sheetViews>
    <sheetView showGridLines="0" tabSelected="1" showRuler="0" zoomScale="98" zoomScaleNormal="70" zoomScalePageLayoutView="70" workbookViewId="0">
      <pane ySplit="6" topLeftCell="A8" activePane="bottomLeft" state="frozen"/>
      <selection pane="bottomLeft" activeCell="F45" sqref="F45"/>
    </sheetView>
  </sheetViews>
  <sheetFormatPr baseColWidth="10" defaultColWidth="9.109375" defaultRowHeight="30" customHeight="1" x14ac:dyDescent="0.3"/>
  <cols>
    <col min="1" max="1" width="2.6640625" style="35" customWidth="1"/>
    <col min="2" max="2" width="29.44140625"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42" width="3.33203125" customWidth="1"/>
    <col min="43" max="43" width="21.33203125" customWidth="1"/>
    <col min="44" max="48" width="3.33203125" customWidth="1"/>
    <col min="49" max="49" width="14.44140625" customWidth="1"/>
    <col min="50" max="51" width="3.33203125" customWidth="1"/>
    <col min="52" max="52" width="22.109375" customWidth="1"/>
    <col min="53" max="56" width="3.33203125" customWidth="1"/>
    <col min="57" max="57" width="10.77734375" customWidth="1"/>
    <col min="58" max="58" width="22.5546875" customWidth="1"/>
    <col min="59" max="60" width="3.33203125" customWidth="1"/>
    <col min="61" max="61" width="15" customWidth="1"/>
    <col min="62" max="63" width="3.33203125" customWidth="1"/>
    <col min="64" max="64" width="16.77734375" customWidth="1"/>
    <col min="69" max="70" width="10.33203125"/>
  </cols>
  <sheetData>
    <row r="1" spans="1:64" ht="30" customHeight="1" x14ac:dyDescent="0.55000000000000004">
      <c r="A1" s="36" t="s">
        <v>0</v>
      </c>
      <c r="B1" s="39" t="s">
        <v>14</v>
      </c>
      <c r="C1" s="1"/>
      <c r="D1" s="2"/>
      <c r="E1" s="4"/>
      <c r="F1" s="24"/>
      <c r="H1" s="2"/>
      <c r="I1" s="46" t="s">
        <v>26</v>
      </c>
    </row>
    <row r="2" spans="1:64" ht="30" customHeight="1" x14ac:dyDescent="0.35">
      <c r="A2" s="35" t="s">
        <v>1</v>
      </c>
      <c r="B2" s="40" t="s">
        <v>15</v>
      </c>
      <c r="I2" s="47" t="s">
        <v>27</v>
      </c>
    </row>
    <row r="3" spans="1:64" ht="30" customHeight="1" x14ac:dyDescent="0.3">
      <c r="A3" s="35" t="s">
        <v>2</v>
      </c>
      <c r="B3" s="41" t="s">
        <v>16</v>
      </c>
      <c r="C3" s="62" t="s">
        <v>19</v>
      </c>
      <c r="D3" s="63"/>
      <c r="E3" s="61">
        <v>46245</v>
      </c>
      <c r="F3" s="61"/>
    </row>
    <row r="4" spans="1:64" ht="30" customHeight="1" x14ac:dyDescent="0.3">
      <c r="A4" s="36" t="s">
        <v>3</v>
      </c>
      <c r="C4" s="62" t="s">
        <v>20</v>
      </c>
      <c r="D4" s="63"/>
      <c r="E4" s="6">
        <v>1</v>
      </c>
      <c r="I4" s="58">
        <f>I5</f>
        <v>46244</v>
      </c>
      <c r="J4" s="59"/>
      <c r="K4" s="59"/>
      <c r="L4" s="59"/>
      <c r="M4" s="59"/>
      <c r="N4" s="59"/>
      <c r="O4" s="60"/>
      <c r="P4" s="58">
        <f>P5</f>
        <v>46251</v>
      </c>
      <c r="Q4" s="59"/>
      <c r="R4" s="59"/>
      <c r="S4" s="59"/>
      <c r="T4" s="59"/>
      <c r="U4" s="59"/>
      <c r="V4" s="60"/>
      <c r="W4" s="58">
        <f>W5</f>
        <v>46258</v>
      </c>
      <c r="X4" s="59"/>
      <c r="Y4" s="59"/>
      <c r="Z4" s="59"/>
      <c r="AA4" s="59"/>
      <c r="AB4" s="59"/>
      <c r="AC4" s="60"/>
      <c r="AD4" s="58">
        <f>AD5</f>
        <v>46265</v>
      </c>
      <c r="AE4" s="59"/>
      <c r="AF4" s="59"/>
      <c r="AG4" s="59"/>
      <c r="AH4" s="59"/>
      <c r="AI4" s="59"/>
      <c r="AJ4" s="60"/>
      <c r="AK4" s="58">
        <f>AK5</f>
        <v>46272</v>
      </c>
      <c r="AL4" s="59"/>
      <c r="AM4" s="59"/>
      <c r="AN4" s="59"/>
      <c r="AO4" s="59"/>
      <c r="AP4" s="59"/>
      <c r="AQ4" s="60"/>
      <c r="AR4" s="58">
        <f>AR5</f>
        <v>46279</v>
      </c>
      <c r="AS4" s="59"/>
      <c r="AT4" s="59"/>
      <c r="AU4" s="59"/>
      <c r="AV4" s="59"/>
      <c r="AW4" s="59"/>
      <c r="AX4" s="60"/>
      <c r="AY4" s="58">
        <f>AY5</f>
        <v>46286</v>
      </c>
      <c r="AZ4" s="59"/>
      <c r="BA4" s="59"/>
      <c r="BB4" s="59"/>
      <c r="BC4" s="59"/>
      <c r="BD4" s="59"/>
      <c r="BE4" s="60"/>
      <c r="BF4" s="58">
        <f>BF5</f>
        <v>46293</v>
      </c>
      <c r="BG4" s="59"/>
      <c r="BH4" s="59"/>
      <c r="BI4" s="59"/>
      <c r="BJ4" s="59"/>
      <c r="BK4" s="59"/>
      <c r="BL4" s="60"/>
    </row>
    <row r="5" spans="1:64" ht="15" customHeight="1" x14ac:dyDescent="0.3">
      <c r="A5" s="36" t="s">
        <v>4</v>
      </c>
      <c r="B5" s="45"/>
      <c r="C5" s="45"/>
      <c r="D5" s="45"/>
      <c r="E5" s="45"/>
      <c r="F5" s="45"/>
      <c r="G5" s="45"/>
      <c r="I5" s="52">
        <f>Inicio_del_proyecto-WEEKDAY(Inicio_del_proyecto,1)+2+7*(Semana_para_mostrar-1)</f>
        <v>46244</v>
      </c>
      <c r="J5" s="53">
        <f>I5+1</f>
        <v>46245</v>
      </c>
      <c r="K5" s="53">
        <f t="shared" ref="K5:AX5" si="0">J5+1</f>
        <v>46246</v>
      </c>
      <c r="L5" s="53">
        <f t="shared" si="0"/>
        <v>46247</v>
      </c>
      <c r="M5" s="53">
        <f t="shared" si="0"/>
        <v>46248</v>
      </c>
      <c r="N5" s="53">
        <f t="shared" si="0"/>
        <v>46249</v>
      </c>
      <c r="O5" s="54">
        <f t="shared" si="0"/>
        <v>46250</v>
      </c>
      <c r="P5" s="52">
        <f>O5+1</f>
        <v>46251</v>
      </c>
      <c r="Q5" s="53">
        <f>P5+1</f>
        <v>46252</v>
      </c>
      <c r="R5" s="53">
        <f t="shared" si="0"/>
        <v>46253</v>
      </c>
      <c r="S5" s="53">
        <f t="shared" si="0"/>
        <v>46254</v>
      </c>
      <c r="T5" s="53">
        <f t="shared" si="0"/>
        <v>46255</v>
      </c>
      <c r="U5" s="53">
        <f t="shared" si="0"/>
        <v>46256</v>
      </c>
      <c r="V5" s="54">
        <f t="shared" si="0"/>
        <v>46257</v>
      </c>
      <c r="W5" s="52">
        <f>V5+1</f>
        <v>46258</v>
      </c>
      <c r="X5" s="53">
        <f>W5+1</f>
        <v>46259</v>
      </c>
      <c r="Y5" s="53">
        <f t="shared" si="0"/>
        <v>46260</v>
      </c>
      <c r="Z5" s="53">
        <f t="shared" si="0"/>
        <v>46261</v>
      </c>
      <c r="AA5" s="53">
        <f t="shared" si="0"/>
        <v>46262</v>
      </c>
      <c r="AB5" s="53">
        <f t="shared" si="0"/>
        <v>46263</v>
      </c>
      <c r="AC5" s="54">
        <f t="shared" si="0"/>
        <v>46264</v>
      </c>
      <c r="AD5" s="52">
        <f>AC5+1</f>
        <v>46265</v>
      </c>
      <c r="AE5" s="53">
        <f>AD5+1</f>
        <v>46266</v>
      </c>
      <c r="AF5" s="53">
        <f t="shared" si="0"/>
        <v>46267</v>
      </c>
      <c r="AG5" s="53">
        <f t="shared" si="0"/>
        <v>46268</v>
      </c>
      <c r="AH5" s="53">
        <f t="shared" si="0"/>
        <v>46269</v>
      </c>
      <c r="AI5" s="53">
        <f t="shared" si="0"/>
        <v>46270</v>
      </c>
      <c r="AJ5" s="54">
        <f t="shared" si="0"/>
        <v>46271</v>
      </c>
      <c r="AK5" s="52">
        <f>AJ5+1</f>
        <v>46272</v>
      </c>
      <c r="AL5" s="53">
        <f>AK5+1</f>
        <v>46273</v>
      </c>
      <c r="AM5" s="53">
        <f t="shared" si="0"/>
        <v>46274</v>
      </c>
      <c r="AN5" s="53">
        <f t="shared" si="0"/>
        <v>46275</v>
      </c>
      <c r="AO5" s="53">
        <f t="shared" si="0"/>
        <v>46276</v>
      </c>
      <c r="AP5" s="53">
        <f t="shared" si="0"/>
        <v>46277</v>
      </c>
      <c r="AQ5" s="54">
        <f t="shared" si="0"/>
        <v>46278</v>
      </c>
      <c r="AR5" s="52">
        <f>AQ5+1</f>
        <v>46279</v>
      </c>
      <c r="AS5" s="53">
        <f>AR5+1</f>
        <v>46280</v>
      </c>
      <c r="AT5" s="53">
        <f t="shared" si="0"/>
        <v>46281</v>
      </c>
      <c r="AU5" s="53">
        <f t="shared" si="0"/>
        <v>46282</v>
      </c>
      <c r="AV5" s="53">
        <f t="shared" si="0"/>
        <v>46283</v>
      </c>
      <c r="AW5" s="53">
        <f t="shared" si="0"/>
        <v>46284</v>
      </c>
      <c r="AX5" s="54">
        <f t="shared" si="0"/>
        <v>46285</v>
      </c>
      <c r="AY5" s="52">
        <f>AX5+1</f>
        <v>46286</v>
      </c>
      <c r="AZ5" s="53">
        <f>AY5+1</f>
        <v>46287</v>
      </c>
      <c r="BA5" s="53">
        <f t="shared" ref="BA5:BE5" si="1">AZ5+1</f>
        <v>46288</v>
      </c>
      <c r="BB5" s="53">
        <f t="shared" si="1"/>
        <v>46289</v>
      </c>
      <c r="BC5" s="53">
        <f t="shared" si="1"/>
        <v>46290</v>
      </c>
      <c r="BD5" s="53">
        <f t="shared" si="1"/>
        <v>46291</v>
      </c>
      <c r="BE5" s="54">
        <f t="shared" si="1"/>
        <v>46292</v>
      </c>
      <c r="BF5" s="52">
        <f>BE5+1</f>
        <v>46293</v>
      </c>
      <c r="BG5" s="53">
        <f>BF5+1</f>
        <v>46294</v>
      </c>
      <c r="BH5" s="53">
        <f t="shared" ref="BH5:BL5" si="2">BG5+1</f>
        <v>46295</v>
      </c>
      <c r="BI5" s="53">
        <f t="shared" si="2"/>
        <v>46296</v>
      </c>
      <c r="BJ5" s="53">
        <f t="shared" si="2"/>
        <v>46297</v>
      </c>
      <c r="BK5" s="53">
        <f t="shared" si="2"/>
        <v>46298</v>
      </c>
      <c r="BL5" s="54">
        <f t="shared" si="2"/>
        <v>46299</v>
      </c>
    </row>
    <row r="6" spans="1:64" ht="30" customHeight="1" thickBot="1" x14ac:dyDescent="0.35">
      <c r="A6" s="36" t="s">
        <v>5</v>
      </c>
      <c r="B6" s="7" t="s">
        <v>17</v>
      </c>
      <c r="C6" s="8" t="s">
        <v>21</v>
      </c>
      <c r="D6" s="8" t="s">
        <v>22</v>
      </c>
      <c r="E6" s="8" t="s">
        <v>23</v>
      </c>
      <c r="F6" s="8" t="s">
        <v>24</v>
      </c>
      <c r="G6" s="8"/>
      <c r="H6" s="8" t="s">
        <v>25</v>
      </c>
      <c r="I6" s="9" t="str">
        <f t="shared" ref="I6" si="3">LEFT(TEXT(I5,"ddd"),1)</f>
        <v>l</v>
      </c>
      <c r="J6" s="9" t="str">
        <f t="shared" ref="J6:AR6" si="4">LEFT(TEXT(J5,"ddd"),1)</f>
        <v>m</v>
      </c>
      <c r="K6" s="9" t="str">
        <f t="shared" si="4"/>
        <v>m</v>
      </c>
      <c r="L6" s="9" t="str">
        <f t="shared" si="4"/>
        <v>j</v>
      </c>
      <c r="M6" s="9" t="str">
        <f t="shared" si="4"/>
        <v>v</v>
      </c>
      <c r="N6" s="9" t="str">
        <f t="shared" si="4"/>
        <v>s</v>
      </c>
      <c r="O6" s="9" t="str">
        <f t="shared" si="4"/>
        <v>d</v>
      </c>
      <c r="P6" s="9" t="str">
        <f t="shared" si="4"/>
        <v>l</v>
      </c>
      <c r="Q6" s="9" t="str">
        <f t="shared" si="4"/>
        <v>m</v>
      </c>
      <c r="R6" s="9" t="str">
        <f t="shared" si="4"/>
        <v>m</v>
      </c>
      <c r="S6" s="9" t="str">
        <f t="shared" si="4"/>
        <v>j</v>
      </c>
      <c r="T6" s="9" t="str">
        <f t="shared" si="4"/>
        <v>v</v>
      </c>
      <c r="U6" s="9" t="str">
        <f t="shared" si="4"/>
        <v>s</v>
      </c>
      <c r="V6" s="9" t="str">
        <f t="shared" si="4"/>
        <v>d</v>
      </c>
      <c r="W6" s="9" t="str">
        <f t="shared" si="4"/>
        <v>l</v>
      </c>
      <c r="X6" s="9" t="str">
        <f t="shared" si="4"/>
        <v>m</v>
      </c>
      <c r="Y6" s="9" t="str">
        <f t="shared" si="4"/>
        <v>m</v>
      </c>
      <c r="Z6" s="9" t="str">
        <f t="shared" si="4"/>
        <v>j</v>
      </c>
      <c r="AA6" s="9" t="str">
        <f t="shared" si="4"/>
        <v>v</v>
      </c>
      <c r="AB6" s="9" t="str">
        <f t="shared" si="4"/>
        <v>s</v>
      </c>
      <c r="AC6" s="9" t="str">
        <f t="shared" si="4"/>
        <v>d</v>
      </c>
      <c r="AD6" s="9" t="str">
        <f t="shared" si="4"/>
        <v>l</v>
      </c>
      <c r="AE6" s="9" t="str">
        <f t="shared" si="4"/>
        <v>m</v>
      </c>
      <c r="AF6" s="9" t="str">
        <f t="shared" si="4"/>
        <v>m</v>
      </c>
      <c r="AG6" s="9" t="str">
        <f t="shared" si="4"/>
        <v>j</v>
      </c>
      <c r="AH6" s="9" t="str">
        <f t="shared" si="4"/>
        <v>v</v>
      </c>
      <c r="AI6" s="9" t="str">
        <f t="shared" si="4"/>
        <v>s</v>
      </c>
      <c r="AJ6" s="9" t="str">
        <f t="shared" si="4"/>
        <v>d</v>
      </c>
      <c r="AK6" s="9" t="str">
        <f t="shared" si="4"/>
        <v>l</v>
      </c>
      <c r="AL6" s="9" t="str">
        <f t="shared" si="4"/>
        <v>m</v>
      </c>
      <c r="AM6" s="9" t="str">
        <f t="shared" si="4"/>
        <v>m</v>
      </c>
      <c r="AN6" s="9" t="str">
        <f t="shared" si="4"/>
        <v>j</v>
      </c>
      <c r="AO6" s="9" t="str">
        <f t="shared" si="4"/>
        <v>v</v>
      </c>
      <c r="AP6" s="9" t="str">
        <f t="shared" si="4"/>
        <v>s</v>
      </c>
      <c r="AQ6" s="9" t="str">
        <f t="shared" si="4"/>
        <v>d</v>
      </c>
      <c r="AR6" s="9" t="str">
        <f t="shared" si="4"/>
        <v>l</v>
      </c>
      <c r="AS6" s="9" t="str">
        <f t="shared" ref="AS6:BL6" si="5">LEFT(TEXT(AS5,"ddd"),1)</f>
        <v>m</v>
      </c>
      <c r="AT6" s="9" t="str">
        <f t="shared" si="5"/>
        <v>m</v>
      </c>
      <c r="AU6" s="9" t="str">
        <f t="shared" si="5"/>
        <v>j</v>
      </c>
      <c r="AV6" s="9" t="str">
        <f t="shared" si="5"/>
        <v>v</v>
      </c>
      <c r="AW6" s="9" t="str">
        <f t="shared" si="5"/>
        <v>s</v>
      </c>
      <c r="AX6" s="9" t="str">
        <f t="shared" si="5"/>
        <v>d</v>
      </c>
      <c r="AY6" s="9" t="str">
        <f t="shared" si="5"/>
        <v>l</v>
      </c>
      <c r="AZ6" s="9" t="str">
        <f t="shared" si="5"/>
        <v>m</v>
      </c>
      <c r="BA6" s="9" t="str">
        <f t="shared" si="5"/>
        <v>m</v>
      </c>
      <c r="BB6" s="9" t="str">
        <f t="shared" si="5"/>
        <v>j</v>
      </c>
      <c r="BC6" s="9" t="str">
        <f t="shared" si="5"/>
        <v>v</v>
      </c>
      <c r="BD6" s="9" t="str">
        <f t="shared" si="5"/>
        <v>s</v>
      </c>
      <c r="BE6" s="9" t="str">
        <f t="shared" si="5"/>
        <v>d</v>
      </c>
      <c r="BF6" s="9" t="str">
        <f t="shared" si="5"/>
        <v>l</v>
      </c>
      <c r="BG6" s="9" t="str">
        <f t="shared" si="5"/>
        <v>m</v>
      </c>
      <c r="BH6" s="9" t="str">
        <f t="shared" si="5"/>
        <v>m</v>
      </c>
      <c r="BI6" s="9" t="str">
        <f t="shared" si="5"/>
        <v>j</v>
      </c>
      <c r="BJ6" s="9" t="str">
        <f t="shared" si="5"/>
        <v>v</v>
      </c>
      <c r="BK6" s="9" t="str">
        <f t="shared" si="5"/>
        <v>s</v>
      </c>
      <c r="BL6" s="9" t="str">
        <f t="shared" si="5"/>
        <v>d</v>
      </c>
    </row>
    <row r="7" spans="1:64" ht="30" hidden="1" customHeight="1" thickBot="1" x14ac:dyDescent="0.35">
      <c r="A7" s="35" t="s">
        <v>6</v>
      </c>
      <c r="C7" s="38"/>
      <c r="E7"/>
      <c r="H7" t="str">
        <f>IF(OR(ISBLANK(task_start),ISBLANK(task_end)),"",task_end-task_start+1)</f>
        <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s="3" customFormat="1" ht="30" customHeight="1" thickBot="1" x14ac:dyDescent="0.35">
      <c r="A8" s="36" t="s">
        <v>7</v>
      </c>
      <c r="B8" s="69" t="s">
        <v>55</v>
      </c>
      <c r="C8" s="69"/>
      <c r="D8" s="69"/>
      <c r="E8" s="69"/>
      <c r="F8" s="69"/>
      <c r="G8" s="13"/>
      <c r="H8" s="13" t="str">
        <f t="shared" ref="H8:H44" si="6">IF(OR(ISBLANK(task_start),ISBLANK(task_end)),"",task_end-task_start+1)</f>
        <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s="3" customFormat="1" ht="30" customHeight="1" thickBot="1" x14ac:dyDescent="0.35">
      <c r="A9" s="36" t="s">
        <v>8</v>
      </c>
      <c r="B9" s="64" t="s">
        <v>41</v>
      </c>
      <c r="C9" s="42" t="s">
        <v>56</v>
      </c>
      <c r="D9" s="14">
        <v>0.5</v>
      </c>
      <c r="E9" s="55">
        <f>Inicio_del_proyecto</f>
        <v>46245</v>
      </c>
      <c r="F9" s="55">
        <f>E9+2</f>
        <v>46247</v>
      </c>
      <c r="G9" s="13"/>
      <c r="H9" s="13">
        <f t="shared" si="6"/>
        <v>3</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s="3" customFormat="1" ht="30" customHeight="1" thickBot="1" x14ac:dyDescent="0.35">
      <c r="A10" s="36" t="s">
        <v>9</v>
      </c>
      <c r="B10" s="64" t="s">
        <v>42</v>
      </c>
      <c r="C10" s="42" t="s">
        <v>57</v>
      </c>
      <c r="D10" s="14">
        <v>1</v>
      </c>
      <c r="E10" s="55">
        <f>F9+1</f>
        <v>46248</v>
      </c>
      <c r="F10" s="55">
        <f>E10+2</f>
        <v>46250</v>
      </c>
      <c r="G10" s="13"/>
      <c r="H10" s="13">
        <f t="shared" si="6"/>
        <v>3</v>
      </c>
      <c r="I10" s="21"/>
      <c r="J10" s="21"/>
      <c r="K10" s="21"/>
      <c r="L10" s="21"/>
      <c r="M10" s="21"/>
      <c r="N10" s="21"/>
      <c r="O10" s="21"/>
      <c r="P10" s="21"/>
      <c r="Q10" s="21"/>
      <c r="R10" s="21"/>
      <c r="S10" s="21"/>
      <c r="T10" s="21"/>
      <c r="U10" s="22"/>
      <c r="V10" s="22"/>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s="3" customFormat="1" ht="30" customHeight="1" thickBot="1" x14ac:dyDescent="0.35">
      <c r="A11" s="35"/>
      <c r="B11" s="64" t="s">
        <v>43</v>
      </c>
      <c r="C11" s="42" t="s">
        <v>56</v>
      </c>
      <c r="D11" s="14">
        <v>1</v>
      </c>
      <c r="E11" s="55">
        <f>F10+1</f>
        <v>46251</v>
      </c>
      <c r="F11" s="55">
        <f>E11+1</f>
        <v>46252</v>
      </c>
      <c r="G11" s="13"/>
      <c r="H11" s="13">
        <f t="shared" si="6"/>
        <v>2</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s="3" customFormat="1" ht="30" customHeight="1" thickBot="1" x14ac:dyDescent="0.35">
      <c r="A12" s="35"/>
      <c r="B12" s="64" t="s">
        <v>44</v>
      </c>
      <c r="C12" s="42" t="s">
        <v>58</v>
      </c>
      <c r="D12" s="14">
        <v>0.25</v>
      </c>
      <c r="E12" s="55">
        <f>E11</f>
        <v>46251</v>
      </c>
      <c r="F12" s="55">
        <f>E12+1</f>
        <v>46252</v>
      </c>
      <c r="G12" s="13"/>
      <c r="H12" s="13">
        <f t="shared" si="6"/>
        <v>2</v>
      </c>
      <c r="I12" s="21"/>
      <c r="J12" s="21"/>
      <c r="K12" s="21"/>
      <c r="L12" s="21"/>
      <c r="M12" s="21"/>
      <c r="N12" s="21"/>
      <c r="O12" s="21"/>
      <c r="P12" s="21"/>
      <c r="Q12" s="21"/>
      <c r="R12" s="21"/>
      <c r="S12" s="21"/>
      <c r="T12" s="21"/>
      <c r="U12" s="21"/>
      <c r="V12" s="21"/>
      <c r="W12" s="21"/>
      <c r="X12" s="21"/>
      <c r="Y12" s="22"/>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s="3" customFormat="1" ht="30" customHeight="1" thickBot="1" x14ac:dyDescent="0.35">
      <c r="A13" s="35"/>
      <c r="B13" s="64" t="s">
        <v>45</v>
      </c>
      <c r="C13" s="42" t="s">
        <v>58</v>
      </c>
      <c r="D13" s="14">
        <v>1</v>
      </c>
      <c r="E13" s="55">
        <f t="shared" ref="E13" si="7">F12</f>
        <v>46252</v>
      </c>
      <c r="F13" s="55">
        <f>E13+1</f>
        <v>46253</v>
      </c>
      <c r="G13" s="13"/>
      <c r="H13" s="13">
        <f t="shared" si="6"/>
        <v>2</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s="3" customFormat="1" ht="30" customHeight="1" thickBot="1" x14ac:dyDescent="0.35">
      <c r="A14" s="36" t="s">
        <v>10</v>
      </c>
      <c r="B14" s="68" t="s">
        <v>54</v>
      </c>
      <c r="C14" s="68"/>
      <c r="D14" s="68"/>
      <c r="E14" s="68"/>
      <c r="F14" s="68"/>
      <c r="G14" s="13"/>
      <c r="H14" s="13" t="str">
        <f t="shared" si="6"/>
        <v/>
      </c>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s="3" customFormat="1" ht="30" customHeight="1" thickBot="1" x14ac:dyDescent="0.35">
      <c r="A15" s="36"/>
      <c r="B15" s="65" t="s">
        <v>46</v>
      </c>
      <c r="C15" s="65" t="s">
        <v>56</v>
      </c>
      <c r="D15" s="14">
        <v>1</v>
      </c>
      <c r="E15" s="55">
        <f>F13+1</f>
        <v>46254</v>
      </c>
      <c r="F15" s="55">
        <f>E15+2</f>
        <v>46256</v>
      </c>
      <c r="G15" s="13"/>
      <c r="H15" s="13">
        <f t="shared" si="6"/>
        <v>3</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s="3" customFormat="1" ht="30" customHeight="1" thickBot="1" x14ac:dyDescent="0.35">
      <c r="A16" s="35"/>
      <c r="B16" s="67" t="s">
        <v>47</v>
      </c>
      <c r="C16" s="67" t="s">
        <v>56</v>
      </c>
      <c r="D16" s="14">
        <v>1</v>
      </c>
      <c r="E16" s="55">
        <f>F15</f>
        <v>46256</v>
      </c>
      <c r="F16" s="55">
        <f>E16+2</f>
        <v>46258</v>
      </c>
      <c r="G16" s="13"/>
      <c r="H16" s="13">
        <f t="shared" si="6"/>
        <v>3</v>
      </c>
      <c r="I16" s="21"/>
      <c r="J16" s="21"/>
      <c r="K16" s="21"/>
      <c r="L16" s="21"/>
      <c r="M16" s="21"/>
      <c r="N16" s="21"/>
      <c r="O16" s="21"/>
      <c r="P16" s="21"/>
      <c r="Q16" s="21"/>
      <c r="R16" s="21"/>
      <c r="S16" s="21"/>
      <c r="T16" s="21"/>
      <c r="U16" s="22"/>
      <c r="V16" s="22"/>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s="3" customFormat="1" ht="30" customHeight="1" thickBot="1" x14ac:dyDescent="0.35">
      <c r="A17" s="35"/>
      <c r="B17" s="67" t="s">
        <v>48</v>
      </c>
      <c r="C17" s="67" t="s">
        <v>58</v>
      </c>
      <c r="D17" s="14">
        <v>1</v>
      </c>
      <c r="E17" s="55">
        <f>E16</f>
        <v>46256</v>
      </c>
      <c r="F17" s="55">
        <f>E17+2</f>
        <v>46258</v>
      </c>
      <c r="G17" s="13"/>
      <c r="H17" s="13">
        <f t="shared" si="6"/>
        <v>3</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s="3" customFormat="1" ht="30" customHeight="1" thickBot="1" x14ac:dyDescent="0.35">
      <c r="A18" s="35"/>
      <c r="B18" s="67" t="s">
        <v>49</v>
      </c>
      <c r="C18" s="67" t="s">
        <v>58</v>
      </c>
      <c r="D18" s="14">
        <v>1</v>
      </c>
      <c r="E18" s="55">
        <f>F17+1</f>
        <v>46259</v>
      </c>
      <c r="F18" s="55">
        <f>E18+2</f>
        <v>46261</v>
      </c>
      <c r="G18" s="13"/>
      <c r="H18" s="13">
        <f t="shared" si="6"/>
        <v>3</v>
      </c>
      <c r="I18" s="21"/>
      <c r="J18" s="21"/>
      <c r="K18" s="21"/>
      <c r="L18" s="21"/>
      <c r="M18" s="21"/>
      <c r="N18" s="21"/>
      <c r="O18" s="21"/>
      <c r="P18" s="21"/>
      <c r="Q18" s="21"/>
      <c r="R18" s="21"/>
      <c r="S18" s="21"/>
      <c r="T18" s="21"/>
      <c r="U18" s="21"/>
      <c r="V18" s="21"/>
      <c r="W18" s="21"/>
      <c r="X18" s="21"/>
      <c r="Y18" s="22"/>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s="3" customFormat="1" ht="30" customHeight="1" thickBot="1" x14ac:dyDescent="0.35">
      <c r="A19" s="35"/>
      <c r="B19" s="68" t="s">
        <v>50</v>
      </c>
      <c r="C19" s="68"/>
      <c r="D19" s="68"/>
      <c r="E19" s="68"/>
      <c r="F19" s="68"/>
      <c r="G19" s="13"/>
      <c r="H19" s="13" t="str">
        <f t="shared" si="6"/>
        <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s="3" customFormat="1" ht="30" customHeight="1" thickBot="1" x14ac:dyDescent="0.35">
      <c r="A20" s="35" t="s">
        <v>11</v>
      </c>
      <c r="B20" s="66" t="s">
        <v>51</v>
      </c>
      <c r="C20" s="65" t="s">
        <v>56</v>
      </c>
      <c r="D20" s="14">
        <v>0</v>
      </c>
      <c r="E20" s="55">
        <f>F18+1</f>
        <v>46262</v>
      </c>
      <c r="F20" s="55">
        <f>E20+2</f>
        <v>46264</v>
      </c>
      <c r="G20" s="13"/>
      <c r="H20" s="13">
        <f t="shared" si="6"/>
        <v>3</v>
      </c>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s="3" customFormat="1" ht="30" customHeight="1" thickBot="1" x14ac:dyDescent="0.35">
      <c r="A21" s="35"/>
      <c r="B21" s="66" t="s">
        <v>52</v>
      </c>
      <c r="C21" s="67" t="s">
        <v>57</v>
      </c>
      <c r="D21" s="14">
        <v>1</v>
      </c>
      <c r="E21" s="55">
        <f>F20+1</f>
        <v>46265</v>
      </c>
      <c r="F21" s="55">
        <f>E21+2</f>
        <v>46267</v>
      </c>
      <c r="G21" s="13"/>
      <c r="H21" s="13">
        <f t="shared" si="6"/>
        <v>3</v>
      </c>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s="3" customFormat="1" ht="30" customHeight="1" thickBot="1" x14ac:dyDescent="0.35">
      <c r="A22" s="35"/>
      <c r="B22" s="66" t="s">
        <v>53</v>
      </c>
      <c r="C22" s="67" t="s">
        <v>58</v>
      </c>
      <c r="D22" s="14">
        <v>0</v>
      </c>
      <c r="E22" s="55">
        <f>F21+1</f>
        <v>46268</v>
      </c>
      <c r="F22" s="55">
        <f>E22+1</f>
        <v>46269</v>
      </c>
      <c r="G22" s="13"/>
      <c r="H22" s="13">
        <f t="shared" si="6"/>
        <v>2</v>
      </c>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s="3" customFormat="1" ht="30" customHeight="1" thickBot="1" x14ac:dyDescent="0.35">
      <c r="A23" s="35"/>
      <c r="B23" s="72" t="s">
        <v>59</v>
      </c>
      <c r="C23" s="72"/>
      <c r="D23" s="72"/>
      <c r="E23" s="72"/>
      <c r="F23" s="72"/>
      <c r="G23" s="13"/>
      <c r="H23" s="13" t="str">
        <f t="shared" si="6"/>
        <v/>
      </c>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s="3" customFormat="1" ht="30" customHeight="1" thickBot="1" x14ac:dyDescent="0.35">
      <c r="A24" s="35"/>
      <c r="B24" s="73" t="s">
        <v>60</v>
      </c>
      <c r="C24" s="75" t="s">
        <v>69</v>
      </c>
      <c r="D24" s="15">
        <v>0</v>
      </c>
      <c r="E24" s="56">
        <f>F22+5</f>
        <v>46274</v>
      </c>
      <c r="F24" s="56">
        <f>E24+4</f>
        <v>46278</v>
      </c>
      <c r="G24" s="13"/>
      <c r="H24" s="13">
        <f t="shared" si="6"/>
        <v>5</v>
      </c>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s="3" customFormat="1" ht="30" customHeight="1" thickBot="1" x14ac:dyDescent="0.35">
      <c r="A25" s="35" t="s">
        <v>11</v>
      </c>
      <c r="B25" s="73" t="s">
        <v>61</v>
      </c>
      <c r="C25" s="73" t="s">
        <v>69</v>
      </c>
      <c r="D25" s="15">
        <v>0</v>
      </c>
      <c r="E25" s="56">
        <f>F24+1</f>
        <v>46279</v>
      </c>
      <c r="F25" s="56">
        <f>E25+2</f>
        <v>46281</v>
      </c>
      <c r="G25" s="13"/>
      <c r="H25" s="13">
        <f t="shared" si="6"/>
        <v>3</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s="3" customFormat="1" ht="30" customHeight="1" thickBot="1" x14ac:dyDescent="0.35">
      <c r="A26" s="35"/>
      <c r="B26" s="71" t="s">
        <v>62</v>
      </c>
      <c r="C26" s="71"/>
      <c r="D26" s="71"/>
      <c r="E26" s="71"/>
      <c r="F26" s="71"/>
      <c r="G26" s="13"/>
      <c r="H26" s="13" t="str">
        <f t="shared" si="6"/>
        <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s="3" customFormat="1" ht="57" customHeight="1" thickBot="1" x14ac:dyDescent="0.35">
      <c r="A27" s="35"/>
      <c r="B27" s="75" t="s">
        <v>63</v>
      </c>
      <c r="C27" s="75" t="s">
        <v>69</v>
      </c>
      <c r="D27" s="15">
        <v>0</v>
      </c>
      <c r="E27" s="56">
        <f>F25</f>
        <v>46281</v>
      </c>
      <c r="F27" s="56">
        <f>E27+11</f>
        <v>46292</v>
      </c>
      <c r="G27" s="13"/>
      <c r="H27" s="13">
        <f t="shared" si="6"/>
        <v>12</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s="3" customFormat="1" ht="66.599999999999994" customHeight="1" thickBot="1" x14ac:dyDescent="0.35">
      <c r="A28" s="35"/>
      <c r="B28" s="73" t="s">
        <v>64</v>
      </c>
      <c r="C28" s="73" t="s">
        <v>69</v>
      </c>
      <c r="D28" s="15">
        <v>0</v>
      </c>
      <c r="E28" s="56">
        <f>F27+3</f>
        <v>46295</v>
      </c>
      <c r="F28" s="56">
        <f>E28+10</f>
        <v>46305</v>
      </c>
      <c r="G28" s="13"/>
      <c r="H28" s="13">
        <f t="shared" si="6"/>
        <v>11</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s="3" customFormat="1" ht="30" customHeight="1" thickBot="1" x14ac:dyDescent="0.35">
      <c r="A29" s="35"/>
      <c r="B29" s="72" t="s">
        <v>65</v>
      </c>
      <c r="C29" s="72"/>
      <c r="D29" s="72"/>
      <c r="E29" s="72"/>
      <c r="F29" s="72"/>
      <c r="G29" s="13"/>
      <c r="H29" s="13" t="str">
        <f t="shared" si="6"/>
        <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s="3" customFormat="1" ht="30" customHeight="1" thickBot="1" x14ac:dyDescent="0.35">
      <c r="A30" s="35"/>
      <c r="B30" s="70" t="s">
        <v>66</v>
      </c>
      <c r="C30" s="75" t="s">
        <v>71</v>
      </c>
      <c r="D30" s="15">
        <v>0</v>
      </c>
      <c r="E30" s="56">
        <f>F28+4</f>
        <v>46309</v>
      </c>
      <c r="F30" s="56">
        <f>E30+12</f>
        <v>46321</v>
      </c>
      <c r="G30" s="13"/>
      <c r="H30" s="13">
        <f t="shared" si="6"/>
        <v>13</v>
      </c>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s="3" customFormat="1" ht="44.4" customHeight="1" thickBot="1" x14ac:dyDescent="0.35">
      <c r="A31" s="35" t="s">
        <v>12</v>
      </c>
      <c r="B31" s="76" t="s">
        <v>67</v>
      </c>
      <c r="C31" s="73" t="s">
        <v>71</v>
      </c>
      <c r="D31" s="15">
        <v>0</v>
      </c>
      <c r="E31" s="56">
        <f>F30+3</f>
        <v>46324</v>
      </c>
      <c r="F31" s="56">
        <f>E31+10</f>
        <v>46334</v>
      </c>
      <c r="G31" s="13"/>
      <c r="H31" s="13">
        <f t="shared" si="6"/>
        <v>11</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s="3" customFormat="1" ht="30" customHeight="1" thickBot="1" x14ac:dyDescent="0.35">
      <c r="A32" s="36" t="s">
        <v>13</v>
      </c>
      <c r="B32" s="72" t="s">
        <v>82</v>
      </c>
      <c r="C32" s="72"/>
      <c r="D32" s="72"/>
      <c r="E32" s="72"/>
      <c r="F32" s="72"/>
      <c r="G32" s="20"/>
      <c r="H32" s="20" t="str">
        <f t="shared" si="6"/>
        <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2:64" ht="30" customHeight="1" thickBot="1" x14ac:dyDescent="0.35">
      <c r="B33" s="74" t="s">
        <v>68</v>
      </c>
      <c r="C33" s="75" t="s">
        <v>69</v>
      </c>
      <c r="D33" s="15">
        <v>0</v>
      </c>
      <c r="E33" s="56">
        <f>F31+3</f>
        <v>46337</v>
      </c>
      <c r="F33" s="56">
        <f>E33+4</f>
        <v>46341</v>
      </c>
      <c r="G33" s="20"/>
      <c r="H33" s="20">
        <f t="shared" si="6"/>
        <v>5</v>
      </c>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2:64" ht="55.8" customHeight="1" thickBot="1" x14ac:dyDescent="0.35">
      <c r="B34" s="70" t="s">
        <v>70</v>
      </c>
      <c r="C34" s="73" t="s">
        <v>71</v>
      </c>
      <c r="D34" s="15">
        <v>0</v>
      </c>
      <c r="E34" s="56">
        <f>F33+3</f>
        <v>46344</v>
      </c>
      <c r="F34" s="56">
        <f>E34+4</f>
        <v>46348</v>
      </c>
      <c r="G34" s="20"/>
      <c r="H34" s="20">
        <f t="shared" si="6"/>
        <v>5</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2:64" ht="30" customHeight="1" thickBot="1" x14ac:dyDescent="0.35">
      <c r="B35" s="79" t="s">
        <v>72</v>
      </c>
      <c r="C35" s="79"/>
      <c r="D35" s="79"/>
      <c r="E35" s="79"/>
      <c r="F35" s="79"/>
      <c r="G35" s="20"/>
      <c r="H35" s="20" t="str">
        <f t="shared" si="6"/>
        <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2:64" ht="67.8" customHeight="1" thickBot="1" x14ac:dyDescent="0.35">
      <c r="B36" s="77" t="s">
        <v>73</v>
      </c>
      <c r="C36" s="80" t="s">
        <v>69</v>
      </c>
      <c r="D36" s="16">
        <v>0</v>
      </c>
      <c r="E36" s="49">
        <f>F34+2</f>
        <v>46350</v>
      </c>
      <c r="F36" s="49">
        <f>E36+1</f>
        <v>46351</v>
      </c>
      <c r="G36" s="20"/>
      <c r="H36" s="20">
        <f t="shared" si="6"/>
        <v>2</v>
      </c>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2:64" ht="69" customHeight="1" thickBot="1" x14ac:dyDescent="0.35">
      <c r="B37" s="77" t="s">
        <v>74</v>
      </c>
      <c r="C37" s="81" t="s">
        <v>69</v>
      </c>
      <c r="D37" s="16">
        <v>0</v>
      </c>
      <c r="E37" s="49">
        <f>F36+1</f>
        <v>46352</v>
      </c>
      <c r="F37" s="49">
        <f>E37+1</f>
        <v>46353</v>
      </c>
      <c r="G37" s="20"/>
      <c r="H37" s="20">
        <f t="shared" si="6"/>
        <v>2</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2:64" ht="39" customHeight="1" thickBot="1" x14ac:dyDescent="0.35">
      <c r="B38" s="78" t="s">
        <v>81</v>
      </c>
      <c r="C38" s="78"/>
      <c r="D38" s="78"/>
      <c r="E38" s="78"/>
      <c r="F38" s="78"/>
      <c r="G38" s="20"/>
      <c r="H38" s="20" t="str">
        <f t="shared" si="6"/>
        <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2:64" ht="52.8" customHeight="1" thickBot="1" x14ac:dyDescent="0.35">
      <c r="B39" s="77" t="s">
        <v>75</v>
      </c>
      <c r="C39" s="80" t="s">
        <v>71</v>
      </c>
      <c r="D39" s="16">
        <v>0</v>
      </c>
      <c r="E39" s="49">
        <f>F37+3</f>
        <v>46356</v>
      </c>
      <c r="F39" s="49">
        <f>E39+2</f>
        <v>46358</v>
      </c>
      <c r="G39" s="20"/>
      <c r="H39" s="20">
        <f t="shared" si="6"/>
        <v>3</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2:64" ht="66" customHeight="1" thickBot="1" x14ac:dyDescent="0.35">
      <c r="B40" s="77" t="s">
        <v>76</v>
      </c>
      <c r="C40" s="81" t="s">
        <v>71</v>
      </c>
      <c r="D40" s="16">
        <v>0</v>
      </c>
      <c r="E40" s="49">
        <f>F39+1</f>
        <v>46359</v>
      </c>
      <c r="F40" s="49">
        <f>E40+1</f>
        <v>46360</v>
      </c>
      <c r="G40" s="20"/>
      <c r="H40" s="20">
        <f t="shared" si="6"/>
        <v>2</v>
      </c>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2:64" ht="67.2" customHeight="1" thickBot="1" x14ac:dyDescent="0.35">
      <c r="B41" s="82" t="s">
        <v>77</v>
      </c>
      <c r="C41" s="82"/>
      <c r="D41" s="82"/>
      <c r="E41" s="82"/>
      <c r="F41" s="82"/>
      <c r="G41" s="20"/>
      <c r="H41" s="20" t="str">
        <f t="shared" si="6"/>
        <v/>
      </c>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2:64" ht="59.4" customHeight="1" thickBot="1" x14ac:dyDescent="0.35">
      <c r="B42" s="77" t="s">
        <v>78</v>
      </c>
      <c r="C42" s="83" t="s">
        <v>69</v>
      </c>
      <c r="D42" s="16">
        <v>0</v>
      </c>
      <c r="E42" s="49">
        <f>F40+3</f>
        <v>46363</v>
      </c>
      <c r="F42" s="49">
        <f>E42+1</f>
        <v>46364</v>
      </c>
      <c r="G42" s="20"/>
      <c r="H42" s="20">
        <f t="shared" si="6"/>
        <v>2</v>
      </c>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2:64" ht="56.4" customHeight="1" thickBot="1" x14ac:dyDescent="0.35">
      <c r="B43" s="77" t="s">
        <v>79</v>
      </c>
      <c r="C43" s="84" t="s">
        <v>57</v>
      </c>
      <c r="D43" s="16">
        <v>0</v>
      </c>
      <c r="E43" s="49">
        <f>F42</f>
        <v>46364</v>
      </c>
      <c r="F43" s="49">
        <f>E43+1</f>
        <v>46365</v>
      </c>
      <c r="G43" s="20"/>
      <c r="H43" s="20">
        <f t="shared" si="6"/>
        <v>2</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2:64" ht="58.2" customHeight="1" thickBot="1" x14ac:dyDescent="0.35">
      <c r="B44" s="77" t="s">
        <v>80</v>
      </c>
      <c r="C44" s="84" t="s">
        <v>57</v>
      </c>
      <c r="D44" s="16">
        <v>0</v>
      </c>
      <c r="E44" s="49">
        <f>F43+1</f>
        <v>46366</v>
      </c>
      <c r="F44" s="49">
        <f>E44+1</f>
        <v>46367</v>
      </c>
      <c r="G44" s="20"/>
      <c r="H44" s="20">
        <f t="shared" si="6"/>
        <v>2</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2:64" ht="30" customHeight="1" thickBot="1" x14ac:dyDescent="0.35">
      <c r="B45" s="17" t="s">
        <v>18</v>
      </c>
      <c r="C45" s="18"/>
      <c r="D45" s="19"/>
      <c r="E45" s="50"/>
      <c r="F45" s="51"/>
    </row>
    <row r="46" spans="2:64" ht="30" customHeight="1" thickBot="1" x14ac:dyDescent="0.35">
      <c r="B46" s="44"/>
      <c r="C46" s="43"/>
      <c r="D46" s="12"/>
      <c r="E46" s="57"/>
      <c r="F46" s="57"/>
    </row>
    <row r="49" spans="3:6" ht="30" customHeight="1" x14ac:dyDescent="0.3">
      <c r="C49" s="10"/>
      <c r="F49" s="37"/>
    </row>
    <row r="50" spans="3:6" ht="30" customHeight="1" x14ac:dyDescent="0.3">
      <c r="C50" s="11"/>
    </row>
  </sheetData>
  <mergeCells count="21">
    <mergeCell ref="B29:F29"/>
    <mergeCell ref="B32:F32"/>
    <mergeCell ref="B38:F38"/>
    <mergeCell ref="B35:F35"/>
    <mergeCell ref="B41:F41"/>
    <mergeCell ref="B14:F14"/>
    <mergeCell ref="B19:F19"/>
    <mergeCell ref="B8:F8"/>
    <mergeCell ref="B26:F26"/>
    <mergeCell ref="B23:F23"/>
    <mergeCell ref="C3:D3"/>
    <mergeCell ref="C4:D4"/>
    <mergeCell ref="AK4:AQ4"/>
    <mergeCell ref="AR4:AX4"/>
    <mergeCell ref="AY4:BE4"/>
    <mergeCell ref="BF4:BL4"/>
    <mergeCell ref="E3:F3"/>
    <mergeCell ref="I4:O4"/>
    <mergeCell ref="P4:V4"/>
    <mergeCell ref="W4:AC4"/>
    <mergeCell ref="AD4:AJ4"/>
  </mergeCells>
  <phoneticPr fontId="37" type="noConversion"/>
  <conditionalFormatting sqref="D15:D18 D7 D9:D13 D20:D22 D24:D25 D27:D28 D30:D31 D33:D34 D36:D37 D39:D40 D42:D46">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4">
    <cfRule type="expression" dxfId="2" priority="33">
      <formula>AND(TODAY()&gt;=I$5,TODAY()&lt;J$5)</formula>
    </cfRule>
  </conditionalFormatting>
  <conditionalFormatting sqref="I7:BL4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D15:D18 D7 D9:D13 D20:D22 D24:D25 D27:D28 D30:D31 D33:D34 D36:D37 D39:D40 D42:D46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25" customWidth="1"/>
    <col min="2" max="16384" width="9.109375" style="2"/>
  </cols>
  <sheetData>
    <row r="1" spans="1:2" ht="46.5" customHeight="1" x14ac:dyDescent="0.3"/>
    <row r="2" spans="1:2" s="27" customFormat="1" ht="15.6" x14ac:dyDescent="0.3">
      <c r="A2" s="26" t="s">
        <v>26</v>
      </c>
      <c r="B2" s="26"/>
    </row>
    <row r="3" spans="1:2" s="31" customFormat="1" ht="27" customHeight="1" x14ac:dyDescent="0.3">
      <c r="A3" s="48" t="s">
        <v>27</v>
      </c>
      <c r="B3" s="32"/>
    </row>
    <row r="4" spans="1:2" s="28" customFormat="1" ht="25.8" x14ac:dyDescent="0.5">
      <c r="A4" s="29" t="s">
        <v>28</v>
      </c>
    </row>
    <row r="5" spans="1:2" ht="74.099999999999994" customHeight="1" x14ac:dyDescent="0.3">
      <c r="A5" s="30" t="s">
        <v>29</v>
      </c>
    </row>
    <row r="6" spans="1:2" ht="26.25" customHeight="1" x14ac:dyDescent="0.3">
      <c r="A6" s="29" t="s">
        <v>30</v>
      </c>
    </row>
    <row r="7" spans="1:2" s="25" customFormat="1" ht="215.25" customHeight="1" x14ac:dyDescent="0.3">
      <c r="A7" s="34" t="s">
        <v>31</v>
      </c>
    </row>
    <row r="8" spans="1:2" s="28" customFormat="1" ht="25.8" x14ac:dyDescent="0.5">
      <c r="A8" s="29" t="s">
        <v>32</v>
      </c>
    </row>
    <row r="9" spans="1:2" ht="57.6" x14ac:dyDescent="0.3">
      <c r="A9" s="30" t="s">
        <v>33</v>
      </c>
    </row>
    <row r="10" spans="1:2" s="25" customFormat="1" ht="27.9" customHeight="1" x14ac:dyDescent="0.3">
      <c r="A10" s="33" t="s">
        <v>34</v>
      </c>
    </row>
    <row r="11" spans="1:2" s="28" customFormat="1" ht="25.8" x14ac:dyDescent="0.5">
      <c r="A11" s="29" t="s">
        <v>35</v>
      </c>
    </row>
    <row r="12" spans="1:2" ht="28.8" x14ac:dyDescent="0.3">
      <c r="A12" s="30" t="s">
        <v>36</v>
      </c>
    </row>
    <row r="13" spans="1:2" s="25" customFormat="1" ht="27.9" customHeight="1" x14ac:dyDescent="0.3">
      <c r="A13" s="33" t="s">
        <v>37</v>
      </c>
    </row>
    <row r="14" spans="1:2" s="28" customFormat="1" ht="25.8" x14ac:dyDescent="0.5">
      <c r="A14" s="29" t="s">
        <v>38</v>
      </c>
    </row>
    <row r="15" spans="1:2" ht="96.75" customHeight="1" x14ac:dyDescent="0.3">
      <c r="A15" s="30" t="s">
        <v>39</v>
      </c>
    </row>
    <row r="16" spans="1:2" ht="86.4" x14ac:dyDescent="0.3">
      <c r="A16" s="30" t="s">
        <v>40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2026-08-31T21:32:20Z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